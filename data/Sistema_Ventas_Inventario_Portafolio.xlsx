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atalogo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entas" displayName="Ventas" ref="A1:M13" headerRowCount="1">
  <autoFilter ref="A1:M13"/>
  <tableColumns count="13">
    <tableColumn id="1" name="ID_Venta"/>
    <tableColumn id="2" name="Marca"/>
    <tableColumn id="3" name="Tipo de cuello"/>
    <tableColumn id="4" name="Manga"/>
    <tableColumn id="5" name="Estampado"/>
    <tableColumn id="6" name="Color"/>
    <tableColumn id="7" name="Talla"/>
    <tableColumn id="8" name="Cantidad"/>
    <tableColumn id="9" name="Fecha"/>
    <tableColumn id="10" name="Precio"/>
    <tableColumn id="11" name="ID_camisa"/>
    <tableColumn id="12" name="Tipo de tela"/>
    <tableColumn id="13" name="Control_Inv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ntario" displayName="Inventario" ref="A1:L11" headerRowCount="1">
  <autoFilter ref="A1:L11"/>
  <tableColumns count="12">
    <tableColumn id="1" name="ID_Camisa"/>
    <tableColumn id="2" name="Modelo base"/>
    <tableColumn id="3" name="Color"/>
    <tableColumn id="4" name="Talla"/>
    <tableColumn id="5" name="Cantidad"/>
    <tableColumn id="6" name="Marca"/>
    <tableColumn id="7" name="Estampado"/>
    <tableColumn id="8" name="Manga"/>
    <tableColumn id="9" name="Tipo de cuello"/>
    <tableColumn id="10" name="Fecha"/>
    <tableColumn id="11" name="Tipo de tela"/>
    <tableColumn id="12" name="Stock_Actual_Calcul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alogosResumen" displayName="CatalogosResumen" ref="A1:H13" headerRowCount="1">
  <autoFilter ref="A1:H13"/>
  <tableColumns count="8">
    <tableColumn id="1" name="Marca"/>
    <tableColumn id="2" name="Tipo de cuello"/>
    <tableColumn id="3" name="Manga"/>
    <tableColumn id="4" name="Estampado"/>
    <tableColumn id="5" name="Color"/>
    <tableColumn id="6" name="Talla"/>
    <tableColumn id="7" name="Tipo de tela"/>
    <tableColumn id="8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7" customWidth="1" min="5" max="5"/>
    <col width="14" customWidth="1" min="6" max="6"/>
    <col width="8" customWidth="1" min="7" max="7"/>
    <col width="10" customWidth="1" min="8" max="8"/>
    <col width="12" customWidth="1" min="9" max="9"/>
    <col width="10" customWidth="1" min="10" max="10"/>
    <col width="22" customWidth="1" min="11" max="11"/>
    <col width="15" customWidth="1" min="12" max="12"/>
    <col width="27" customWidth="1" min="13" max="13"/>
  </cols>
  <sheetData>
    <row r="1">
      <c r="A1" s="1" t="inlineStr">
        <is>
          <t>ID_Venta</t>
        </is>
      </c>
      <c r="B1" s="1" t="inlineStr">
        <is>
          <t>Marca</t>
        </is>
      </c>
      <c r="C1" s="1" t="inlineStr">
        <is>
          <t>Tipo de cuello</t>
        </is>
      </c>
      <c r="D1" s="1" t="inlineStr">
        <is>
          <t>Manga</t>
        </is>
      </c>
      <c r="E1" s="1" t="inlineStr">
        <is>
          <t>Estampado</t>
        </is>
      </c>
      <c r="F1" s="1" t="inlineStr">
        <is>
          <t>Color</t>
        </is>
      </c>
      <c r="G1" s="1" t="inlineStr">
        <is>
          <t>Talla</t>
        </is>
      </c>
      <c r="H1" s="1" t="inlineStr">
        <is>
          <t>Cantidad</t>
        </is>
      </c>
      <c r="I1" s="1" t="inlineStr">
        <is>
          <t>Fecha</t>
        </is>
      </c>
      <c r="J1" s="1" t="inlineStr">
        <is>
          <t>Precio</t>
        </is>
      </c>
      <c r="K1" s="1" t="inlineStr">
        <is>
          <t>ID_camisa</t>
        </is>
      </c>
      <c r="L1" s="1" t="inlineStr">
        <is>
          <t>Tipo de tela</t>
        </is>
      </c>
      <c r="M1" s="1" t="inlineStr">
        <is>
          <t>Control_Inventario</t>
        </is>
      </c>
    </row>
    <row r="2">
      <c r="A2" s="2" t="n">
        <v>1</v>
      </c>
      <c r="B2" s="2" t="inlineStr">
        <is>
          <t>Polo</t>
        </is>
      </c>
      <c r="C2" s="2" t="inlineStr">
        <is>
          <t>con cuello</t>
        </is>
      </c>
      <c r="D2" s="2" t="inlineStr">
        <is>
          <t>larga</t>
        </is>
      </c>
      <c r="E2" s="2" t="inlineStr">
        <is>
          <t>micro cuadro</t>
        </is>
      </c>
      <c r="F2" s="2" t="inlineStr">
        <is>
          <t>azul cielo</t>
        </is>
      </c>
      <c r="G2" s="2" t="inlineStr">
        <is>
          <t>XG</t>
        </is>
      </c>
      <c r="H2" s="2" t="n">
        <v>1</v>
      </c>
      <c r="I2" s="3" t="n">
        <v>46009</v>
      </c>
      <c r="J2" s="2" t="n">
        <v>149</v>
      </c>
      <c r="K2" s="2">
        <f>IF(COUNTA(B2:G2)&lt;6,"",UPPER(LEFT(TRIM(B2),1)&amp;"-"&amp;IF(LOWER(TRIM(C2))="con cuello","CC",LEFT(SUBSTITUTE(TRIM(C2)," ",""),3))&amp;"-"&amp;LEFT(TRIM(D2),1)&amp;"-"&amp;LEFT(SUBSTITUTE(TRIM(E2)," ",""),3)&amp;"-"&amp;IF(ISNUMBER(SEARCH(" ",TRIM(F2))),LEFT(TRIM(F2),2)&amp;MID(TRIM(F2),SEARCH(" ",TRIM(F2))+1,2),IF(OR(LOWER(TRIM(F2))="blanca",LOWER(TRIM(F2))="blanco"),"BLANC",LEFT(TRIM(F2),4)))&amp;"-"&amp;TRIM(G2)))</f>
        <v/>
      </c>
      <c r="L2" s="2" t="inlineStr">
        <is>
          <t>Media</t>
        </is>
      </c>
      <c r="M2" s="2">
        <f>IF(K2="","",IF(I2&lt;MAX(Inventario!$J:$J),"Fecha no aplica",IF(COUNTIF(Inventario!$A:$A,K2)=0,"No encontrado en inventario",IF(SUMIFS(Inventario!$E:$E,Inventario!$A:$A,K2)-SUMIFS(Ventas!$H:$H,Ventas!$K:$K,K2,Ventas!$I:$I,"&gt;="&amp;MAX(Inventario!$J:$J))&lt;0,"Stock insuficiente","Descontado"))))</f>
        <v/>
      </c>
    </row>
    <row r="3">
      <c r="A3" s="2" t="n">
        <v>2</v>
      </c>
      <c r="B3" s="2" t="inlineStr">
        <is>
          <t>Polo</t>
        </is>
      </c>
      <c r="C3" s="2" t="inlineStr">
        <is>
          <t>con cuello</t>
        </is>
      </c>
      <c r="D3" s="2" t="inlineStr">
        <is>
          <t>larga</t>
        </is>
      </c>
      <c r="E3" s="2" t="inlineStr">
        <is>
          <t>micro cuadro</t>
        </is>
      </c>
      <c r="F3" s="2" t="inlineStr">
        <is>
          <t>azul marino</t>
        </is>
      </c>
      <c r="G3" s="2" t="inlineStr">
        <is>
          <t>G</t>
        </is>
      </c>
      <c r="H3" s="2" t="n">
        <v>1</v>
      </c>
      <c r="I3" s="3" t="n">
        <v>46009</v>
      </c>
      <c r="J3" s="2" t="n">
        <v>149</v>
      </c>
      <c r="K3" s="2">
        <f>IF(COUNTA(B3:G3)&lt;6,"",UPPER(LEFT(TRIM(B3),1)&amp;"-"&amp;IF(LOWER(TRIM(C3))="con cuello","CC",LEFT(SUBSTITUTE(TRIM(C3)," ",""),3))&amp;"-"&amp;LEFT(TRIM(D3),1)&amp;"-"&amp;LEFT(SUBSTITUTE(TRIM(E3)," ",""),3)&amp;"-"&amp;IF(ISNUMBER(SEARCH(" ",TRIM(F3))),LEFT(TRIM(F3),2)&amp;MID(TRIM(F3),SEARCH(" ",TRIM(F3))+1,2),IF(OR(LOWER(TRIM(F3))="blanca",LOWER(TRIM(F3))="blanco"),"BLANC",LEFT(TRIM(F3),4)))&amp;"-"&amp;TRIM(G3)))</f>
        <v/>
      </c>
      <c r="L3" s="2" t="inlineStr">
        <is>
          <t>Media</t>
        </is>
      </c>
      <c r="M3" s="2">
        <f>IF(K3="","",IF(I3&lt;MAX(Inventario!$J:$J),"Fecha no aplica",IF(COUNTIF(Inventario!$A:$A,K3)=0,"No encontrado en inventario",IF(SUMIFS(Inventario!$E:$E,Inventario!$A:$A,K3)-SUMIFS(Ventas!$H:$H,Ventas!$K:$K,K3,Ventas!$I:$I,"&gt;="&amp;MAX(Inventario!$J:$J))&lt;0,"Stock insuficiente","Descontado"))))</f>
        <v/>
      </c>
    </row>
    <row r="4">
      <c r="A4" s="2" t="n">
        <v>3</v>
      </c>
      <c r="B4" s="2" t="inlineStr">
        <is>
          <t>Zara</t>
        </is>
      </c>
      <c r="C4" s="2" t="inlineStr">
        <is>
          <t>con cuello</t>
        </is>
      </c>
      <c r="D4" s="2" t="inlineStr">
        <is>
          <t>larga</t>
        </is>
      </c>
      <c r="E4" s="2" t="inlineStr">
        <is>
          <t>lisa</t>
        </is>
      </c>
      <c r="F4" s="2" t="inlineStr">
        <is>
          <t>negra</t>
        </is>
      </c>
      <c r="G4" s="2" t="inlineStr">
        <is>
          <t>G</t>
        </is>
      </c>
      <c r="H4" s="2" t="n">
        <v>1</v>
      </c>
      <c r="I4" s="3" t="n">
        <v>46009</v>
      </c>
      <c r="J4" s="2" t="n">
        <v>159</v>
      </c>
      <c r="K4" s="2">
        <f>IF(COUNTA(B4:G4)&lt;6,"",UPPER(LEFT(TRIM(B4),1)&amp;"-"&amp;IF(LOWER(TRIM(C4))="con cuello","CC",LEFT(SUBSTITUTE(TRIM(C4)," ",""),3))&amp;"-"&amp;LEFT(TRIM(D4),1)&amp;"-"&amp;LEFT(SUBSTITUTE(TRIM(E4)," ",""),3)&amp;"-"&amp;IF(ISNUMBER(SEARCH(" ",TRIM(F4))),LEFT(TRIM(F4),2)&amp;MID(TRIM(F4),SEARCH(" ",TRIM(F4))+1,2),IF(OR(LOWER(TRIM(F4))="blanca",LOWER(TRIM(F4))="blanco"),"BLANC",LEFT(TRIM(F4),4)))&amp;"-"&amp;TRIM(G4)))</f>
        <v/>
      </c>
      <c r="L4" s="2" t="inlineStr">
        <is>
          <t>Poliester</t>
        </is>
      </c>
      <c r="M4" s="2">
        <f>IF(K4="","",IF(I4&lt;MAX(Inventario!$J:$J),"Fecha no aplica",IF(COUNTIF(Inventario!$A:$A,K4)=0,"No encontrado en inventario",IF(SUMIFS(Inventario!$E:$E,Inventario!$A:$A,K4)-SUMIFS(Ventas!$H:$H,Ventas!$K:$K,K4,Ventas!$I:$I,"&gt;="&amp;MAX(Inventario!$J:$J))&lt;0,"Stock insuficiente","Descontado"))))</f>
        <v/>
      </c>
    </row>
    <row r="5">
      <c r="A5" s="2" t="n">
        <v>4</v>
      </c>
      <c r="B5" s="2" t="inlineStr">
        <is>
          <t>Tommy</t>
        </is>
      </c>
      <c r="C5" s="2" t="inlineStr">
        <is>
          <t>mao</t>
        </is>
      </c>
      <c r="D5" s="2" t="inlineStr">
        <is>
          <t>corta</t>
        </is>
      </c>
      <c r="E5" s="2" t="inlineStr">
        <is>
          <t>resorte</t>
        </is>
      </c>
      <c r="F5" s="2" t="inlineStr">
        <is>
          <t>blanca</t>
        </is>
      </c>
      <c r="G5" s="2" t="inlineStr">
        <is>
          <t>M</t>
        </is>
      </c>
      <c r="H5" s="2" t="n">
        <v>1</v>
      </c>
      <c r="I5" s="3" t="n">
        <v>46009</v>
      </c>
      <c r="J5" s="2" t="n">
        <v>169</v>
      </c>
      <c r="K5" s="2">
        <f>IF(COUNTA(B5:G5)&lt;6,"",UPPER(LEFT(TRIM(B5),1)&amp;"-"&amp;IF(LOWER(TRIM(C5))="con cuello","CC",LEFT(SUBSTITUTE(TRIM(C5)," ",""),3))&amp;"-"&amp;LEFT(TRIM(D5),1)&amp;"-"&amp;LEFT(SUBSTITUTE(TRIM(E5)," ",""),3)&amp;"-"&amp;IF(ISNUMBER(SEARCH(" ",TRIM(F5))),LEFT(TRIM(F5),2)&amp;MID(TRIM(F5),SEARCH(" ",TRIM(F5))+1,2),IF(OR(LOWER(TRIM(F5))="blanca",LOWER(TRIM(F5))="blanco"),"BLANC",LEFT(TRIM(F5),4)))&amp;"-"&amp;TRIM(G5)))</f>
        <v/>
      </c>
      <c r="L5" s="2" t="inlineStr">
        <is>
          <t>Algodonada</t>
        </is>
      </c>
      <c r="M5" s="2">
        <f>IF(K5="","",IF(I5&lt;MAX(Inventario!$J:$J),"Fecha no aplica",IF(COUNTIF(Inventario!$A:$A,K5)=0,"No encontrado en inventario",IF(SUMIFS(Inventario!$E:$E,Inventario!$A:$A,K5)-SUMIFS(Ventas!$H:$H,Ventas!$K:$K,K5,Ventas!$I:$I,"&gt;="&amp;MAX(Inventario!$J:$J))&lt;0,"Stock insuficiente","Descontado"))))</f>
        <v/>
      </c>
    </row>
    <row r="6">
      <c r="A6" s="2" t="n">
        <v>5</v>
      </c>
      <c r="B6" s="2" t="inlineStr">
        <is>
          <t>Calvin</t>
        </is>
      </c>
      <c r="C6" s="2" t="inlineStr">
        <is>
          <t>mao</t>
        </is>
      </c>
      <c r="D6" s="2" t="inlineStr">
        <is>
          <t>larga</t>
        </is>
      </c>
      <c r="E6" s="2" t="inlineStr">
        <is>
          <t>lisa</t>
        </is>
      </c>
      <c r="F6" s="2" t="inlineStr">
        <is>
          <t>azul cielo</t>
        </is>
      </c>
      <c r="G6" s="2" t="inlineStr">
        <is>
          <t>G</t>
        </is>
      </c>
      <c r="H6" s="2" t="n">
        <v>1</v>
      </c>
      <c r="I6" s="3" t="n">
        <v>46276</v>
      </c>
      <c r="J6" s="2" t="n">
        <v>179</v>
      </c>
      <c r="K6" s="2">
        <f>IF(COUNTA(B6:G6)&lt;6,"",UPPER(LEFT(TRIM(B6),1)&amp;"-"&amp;IF(LOWER(TRIM(C6))="con cuello","CC",LEFT(SUBSTITUTE(TRIM(C6)," ",""),3))&amp;"-"&amp;LEFT(TRIM(D6),1)&amp;"-"&amp;LEFT(SUBSTITUTE(TRIM(E6)," ",""),3)&amp;"-"&amp;IF(ISNUMBER(SEARCH(" ",TRIM(F6))),LEFT(TRIM(F6),2)&amp;MID(TRIM(F6),SEARCH(" ",TRIM(F6))+1,2),IF(OR(LOWER(TRIM(F6))="blanca",LOWER(TRIM(F6))="blanco"),"BLANC",LEFT(TRIM(F6),4)))&amp;"-"&amp;TRIM(G6)))</f>
        <v/>
      </c>
      <c r="L6" s="2" t="inlineStr">
        <is>
          <t>Algodonada</t>
        </is>
      </c>
      <c r="M6" s="2">
        <f>IF(K6="","",IF(I6&lt;MAX(Inventario!$J:$J),"Fecha no aplica",IF(COUNTIF(Inventario!$A:$A,K6)=0,"No encontrado en inventario",IF(SUMIFS(Inventario!$E:$E,Inventario!$A:$A,K6)-SUMIFS(Ventas!$H:$H,Ventas!$K:$K,K6,Ventas!$I:$I,"&gt;="&amp;MAX(Inventario!$J:$J))&lt;0,"Stock insuficiente","Descontado"))))</f>
        <v/>
      </c>
    </row>
    <row r="7">
      <c r="A7" s="2" t="n">
        <v>6</v>
      </c>
      <c r="B7" s="2" t="inlineStr">
        <is>
          <t>Zara</t>
        </is>
      </c>
      <c r="C7" s="2" t="inlineStr">
        <is>
          <t>con cuello</t>
        </is>
      </c>
      <c r="D7" s="2" t="inlineStr">
        <is>
          <t>larga</t>
        </is>
      </c>
      <c r="E7" s="2" t="inlineStr">
        <is>
          <t>lisa</t>
        </is>
      </c>
      <c r="F7" s="2" t="inlineStr">
        <is>
          <t>azul marino</t>
        </is>
      </c>
      <c r="G7" s="2" t="inlineStr">
        <is>
          <t>M</t>
        </is>
      </c>
      <c r="H7" s="2" t="n">
        <v>1</v>
      </c>
      <c r="I7" s="3" t="n">
        <v>46276</v>
      </c>
      <c r="J7" s="2" t="n">
        <v>169</v>
      </c>
      <c r="K7" s="2">
        <f>IF(COUNTA(B7:G7)&lt;6,"",UPPER(LEFT(TRIM(B7),1)&amp;"-"&amp;IF(LOWER(TRIM(C7))="con cuello","CC",LEFT(SUBSTITUTE(TRIM(C7)," ",""),3))&amp;"-"&amp;LEFT(TRIM(D7),1)&amp;"-"&amp;LEFT(SUBSTITUTE(TRIM(E7)," ",""),3)&amp;"-"&amp;IF(ISNUMBER(SEARCH(" ",TRIM(F7))),LEFT(TRIM(F7),2)&amp;MID(TRIM(F7),SEARCH(" ",TRIM(F7))+1,2),IF(OR(LOWER(TRIM(F7))="blanca",LOWER(TRIM(F7))="blanco"),"BLANC",LEFT(TRIM(F7),4)))&amp;"-"&amp;TRIM(G7)))</f>
        <v/>
      </c>
      <c r="L7" s="2" t="inlineStr">
        <is>
          <t>Poliester</t>
        </is>
      </c>
      <c r="M7" s="2">
        <f>IF(K7="","",IF(I7&lt;MAX(Inventario!$J:$J),"Fecha no aplica",IF(COUNTIF(Inventario!$A:$A,K7)=0,"No encontrado en inventario",IF(SUMIFS(Inventario!$E:$E,Inventario!$A:$A,K7)-SUMIFS(Ventas!$H:$H,Ventas!$K:$K,K7,Ventas!$I:$I,"&gt;="&amp;MAX(Inventario!$J:$J))&lt;0,"Stock insuficiente","Descontado"))))</f>
        <v/>
      </c>
    </row>
    <row r="8">
      <c r="A8" s="2" t="n">
        <v>7</v>
      </c>
      <c r="B8" s="2" t="inlineStr">
        <is>
          <t>Zara</t>
        </is>
      </c>
      <c r="C8" s="2" t="inlineStr">
        <is>
          <t>con cuello</t>
        </is>
      </c>
      <c r="D8" s="2" t="inlineStr">
        <is>
          <t>larga</t>
        </is>
      </c>
      <c r="E8" s="2" t="inlineStr">
        <is>
          <t>lisa</t>
        </is>
      </c>
      <c r="F8" s="2" t="inlineStr">
        <is>
          <t>blanca</t>
        </is>
      </c>
      <c r="G8" s="2" t="inlineStr">
        <is>
          <t>M</t>
        </is>
      </c>
      <c r="H8" s="2" t="n">
        <v>2</v>
      </c>
      <c r="I8" s="3" t="n">
        <v>46276</v>
      </c>
      <c r="J8" s="2" t="n">
        <v>169</v>
      </c>
      <c r="K8" s="2">
        <f>IF(COUNTA(B8:G8)&lt;6,"",UPPER(LEFT(TRIM(B8),1)&amp;"-"&amp;IF(LOWER(TRIM(C8))="con cuello","CC",LEFT(SUBSTITUTE(TRIM(C8)," ",""),3))&amp;"-"&amp;LEFT(TRIM(D8),1)&amp;"-"&amp;LEFT(SUBSTITUTE(TRIM(E8)," ",""),3)&amp;"-"&amp;IF(ISNUMBER(SEARCH(" ",TRIM(F8))),LEFT(TRIM(F8),2)&amp;MID(TRIM(F8),SEARCH(" ",TRIM(F8))+1,2),IF(OR(LOWER(TRIM(F8))="blanca",LOWER(TRIM(F8))="blanco"),"BLANC",LEFT(TRIM(F8),4)))&amp;"-"&amp;TRIM(G8)))</f>
        <v/>
      </c>
      <c r="L8" s="2" t="inlineStr">
        <is>
          <t>Poliester</t>
        </is>
      </c>
      <c r="M8" s="2">
        <f>IF(K8="","",IF(I8&lt;MAX(Inventario!$J:$J),"Fecha no aplica",IF(COUNTIF(Inventario!$A:$A,K8)=0,"No encontrado en inventario",IF(SUMIFS(Inventario!$E:$E,Inventario!$A:$A,K8)-SUMIFS(Ventas!$H:$H,Ventas!$K:$K,K8,Ventas!$I:$I,"&gt;="&amp;MAX(Inventario!$J:$J))&lt;0,"Stock insuficiente","Descontado"))))</f>
        <v/>
      </c>
    </row>
    <row r="9">
      <c r="A9" s="2" t="n">
        <v>8</v>
      </c>
      <c r="B9" s="2" t="inlineStr">
        <is>
          <t>Calvin</t>
        </is>
      </c>
      <c r="C9" s="2" t="inlineStr">
        <is>
          <t>mao</t>
        </is>
      </c>
      <c r="D9" s="2" t="inlineStr">
        <is>
          <t>corta</t>
        </is>
      </c>
      <c r="E9" s="2" t="inlineStr">
        <is>
          <t>lisa</t>
        </is>
      </c>
      <c r="F9" s="2" t="inlineStr">
        <is>
          <t>negra</t>
        </is>
      </c>
      <c r="G9" s="2" t="inlineStr">
        <is>
          <t>G</t>
        </is>
      </c>
      <c r="H9" s="2" t="n">
        <v>1</v>
      </c>
      <c r="I9" s="3" t="n">
        <v>46276</v>
      </c>
      <c r="J9" s="2" t="n">
        <v>179</v>
      </c>
      <c r="K9" s="2">
        <f>IF(COUNTA(B9:G9)&lt;6,"",UPPER(LEFT(TRIM(B9),1)&amp;"-"&amp;IF(LOWER(TRIM(C9))="con cuello","CC",LEFT(SUBSTITUTE(TRIM(C9)," ",""),3))&amp;"-"&amp;LEFT(TRIM(D9),1)&amp;"-"&amp;LEFT(SUBSTITUTE(TRIM(E9)," ",""),3)&amp;"-"&amp;IF(ISNUMBER(SEARCH(" ",TRIM(F9))),LEFT(TRIM(F9),2)&amp;MID(TRIM(F9),SEARCH(" ",TRIM(F9))+1,2),IF(OR(LOWER(TRIM(F9))="blanca",LOWER(TRIM(F9))="blanco"),"BLANC",LEFT(TRIM(F9),4)))&amp;"-"&amp;TRIM(G9)))</f>
        <v/>
      </c>
      <c r="L9" s="2" t="inlineStr">
        <is>
          <t>Algodonada</t>
        </is>
      </c>
      <c r="M9" s="2">
        <f>IF(K9="","",IF(I9&lt;MAX(Inventario!$J:$J),"Fecha no aplica",IF(COUNTIF(Inventario!$A:$A,K9)=0,"No encontrado en inventario",IF(SUMIFS(Inventario!$E:$E,Inventario!$A:$A,K9)-SUMIFS(Ventas!$H:$H,Ventas!$K:$K,K9,Ventas!$I:$I,"&gt;="&amp;MAX(Inventario!$J:$J))&lt;0,"Stock insuficiente","Descontado"))))</f>
        <v/>
      </c>
    </row>
    <row r="10">
      <c r="A10" s="2" t="n">
        <v>9</v>
      </c>
      <c r="B10" s="2" t="inlineStr">
        <is>
          <t>Tommy</t>
        </is>
      </c>
      <c r="C10" s="2" t="inlineStr">
        <is>
          <t>con cuello</t>
        </is>
      </c>
      <c r="D10" s="2" t="inlineStr">
        <is>
          <t>larga</t>
        </is>
      </c>
      <c r="E10" s="2" t="inlineStr">
        <is>
          <t>figuras</t>
        </is>
      </c>
      <c r="F10" s="2" t="inlineStr">
        <is>
          <t>azul marino</t>
        </is>
      </c>
      <c r="G10" s="2" t="inlineStr">
        <is>
          <t>XG</t>
        </is>
      </c>
      <c r="H10" s="2" t="n">
        <v>1</v>
      </c>
      <c r="I10" s="3" t="n">
        <v>46276</v>
      </c>
      <c r="J10" s="2" t="n">
        <v>189</v>
      </c>
      <c r="K10" s="2">
        <f>IF(COUNTA(B10:G10)&lt;6,"",UPPER(LEFT(TRIM(B10),1)&amp;"-"&amp;IF(LOWER(TRIM(C10))="con cuello","CC",LEFT(SUBSTITUTE(TRIM(C10)," ",""),3))&amp;"-"&amp;LEFT(TRIM(D10),1)&amp;"-"&amp;LEFT(SUBSTITUTE(TRIM(E10)," ",""),3)&amp;"-"&amp;IF(ISNUMBER(SEARCH(" ",TRIM(F10))),LEFT(TRIM(F10),2)&amp;MID(TRIM(F10),SEARCH(" ",TRIM(F10))+1,2),IF(OR(LOWER(TRIM(F10))="blanca",LOWER(TRIM(F10))="blanco"),"BLANC",LEFT(TRIM(F10),4)))&amp;"-"&amp;TRIM(G10)))</f>
        <v/>
      </c>
      <c r="L10" s="2" t="inlineStr">
        <is>
          <t>Suave</t>
        </is>
      </c>
      <c r="M10" s="2">
        <f>IF(K10="","",IF(I10&lt;MAX(Inventario!$J:$J),"Fecha no aplica",IF(COUNTIF(Inventario!$A:$A,K10)=0,"No encontrado en inventario",IF(SUMIFS(Inventario!$E:$E,Inventario!$A:$A,K10)-SUMIFS(Ventas!$H:$H,Ventas!$K:$K,K10,Ventas!$I:$I,"&gt;="&amp;MAX(Inventario!$J:$J))&lt;0,"Stock insuficiente","Descontado"))))</f>
        <v/>
      </c>
    </row>
    <row r="11">
      <c r="A11" s="2" t="n">
        <v>10</v>
      </c>
      <c r="B11" s="2" t="inlineStr">
        <is>
          <t>Calvin</t>
        </is>
      </c>
      <c r="C11" s="2" t="inlineStr">
        <is>
          <t>mao</t>
        </is>
      </c>
      <c r="D11" s="2" t="inlineStr">
        <is>
          <t>larga</t>
        </is>
      </c>
      <c r="E11" s="2" t="inlineStr">
        <is>
          <t>lisa</t>
        </is>
      </c>
      <c r="F11" s="2" t="inlineStr">
        <is>
          <t>blanca</t>
        </is>
      </c>
      <c r="G11" s="2" t="inlineStr">
        <is>
          <t>M</t>
        </is>
      </c>
      <c r="H11" s="2" t="n">
        <v>1</v>
      </c>
      <c r="I11" s="3" t="n">
        <v>46276</v>
      </c>
      <c r="J11" s="2" t="n">
        <v>179</v>
      </c>
      <c r="K11" s="2">
        <f>IF(COUNTA(B11:G11)&lt;6,"",UPPER(LEFT(TRIM(B11),1)&amp;"-"&amp;IF(LOWER(TRIM(C11))="con cuello","CC",LEFT(SUBSTITUTE(TRIM(C11)," ",""),3))&amp;"-"&amp;LEFT(TRIM(D11),1)&amp;"-"&amp;LEFT(SUBSTITUTE(TRIM(E11)," ",""),3)&amp;"-"&amp;IF(ISNUMBER(SEARCH(" ",TRIM(F11))),LEFT(TRIM(F11),2)&amp;MID(TRIM(F11),SEARCH(" ",TRIM(F11))+1,2),IF(OR(LOWER(TRIM(F11))="blanca",LOWER(TRIM(F11))="blanco"),"BLANC",LEFT(TRIM(F11),4)))&amp;"-"&amp;TRIM(G11)))</f>
        <v/>
      </c>
      <c r="L11" s="2" t="inlineStr">
        <is>
          <t>Algodonada</t>
        </is>
      </c>
      <c r="M11" s="2">
        <f>IF(K11="","",IF(I11&lt;MAX(Inventario!$J:$J),"Fecha no aplica",IF(COUNTIF(Inventario!$A:$A,K11)=0,"No encontrado en inventario",IF(SUMIFS(Inventario!$E:$E,Inventario!$A:$A,K11)-SUMIFS(Ventas!$H:$H,Ventas!$K:$K,K11,Ventas!$I:$I,"&gt;="&amp;MAX(Inventario!$J:$J))&lt;0,"Stock insuficiente","Descontado"))))</f>
        <v/>
      </c>
    </row>
    <row r="12">
      <c r="A12" s="2" t="n">
        <v>11</v>
      </c>
      <c r="B12" s="2" t="inlineStr">
        <is>
          <t>Zara</t>
        </is>
      </c>
      <c r="C12" s="2" t="inlineStr">
        <is>
          <t>con cuello</t>
        </is>
      </c>
      <c r="D12" s="2" t="inlineStr">
        <is>
          <t>larga</t>
        </is>
      </c>
      <c r="E12" s="2" t="inlineStr">
        <is>
          <t>lisa</t>
        </is>
      </c>
      <c r="F12" s="2" t="inlineStr">
        <is>
          <t>negra</t>
        </is>
      </c>
      <c r="G12" s="2" t="inlineStr">
        <is>
          <t>CH</t>
        </is>
      </c>
      <c r="H12" s="2" t="n">
        <v>1</v>
      </c>
      <c r="I12" s="3" t="n">
        <v>46277</v>
      </c>
      <c r="J12" s="2" t="n">
        <v>159</v>
      </c>
      <c r="K12" s="2">
        <f>IF(COUNTA(B12:G12)&lt;6,"",UPPER(LEFT(TRIM(B12),1)&amp;"-"&amp;IF(LOWER(TRIM(C12))="con cuello","CC",LEFT(SUBSTITUTE(TRIM(C12)," ",""),3))&amp;"-"&amp;LEFT(TRIM(D12),1)&amp;"-"&amp;LEFT(SUBSTITUTE(TRIM(E12)," ",""),3)&amp;"-"&amp;IF(ISNUMBER(SEARCH(" ",TRIM(F12))),LEFT(TRIM(F12),2)&amp;MID(TRIM(F12),SEARCH(" ",TRIM(F12))+1,2),IF(OR(LOWER(TRIM(F12))="blanca",LOWER(TRIM(F12))="blanco"),"BLANC",LEFT(TRIM(F12),4)))&amp;"-"&amp;TRIM(G12)))</f>
        <v/>
      </c>
      <c r="L12" s="2" t="inlineStr">
        <is>
          <t>Poliester</t>
        </is>
      </c>
      <c r="M12" s="2">
        <f>IF(K12="","",IF(I12&lt;MAX(Inventario!$J:$J),"Fecha no aplica",IF(COUNTIF(Inventario!$A:$A,K12)=0,"No encontrado en inventario",IF(SUMIFS(Inventario!$E:$E,Inventario!$A:$A,K12)-SUMIFS(Ventas!$H:$H,Ventas!$K:$K,K12,Ventas!$I:$I,"&gt;="&amp;MAX(Inventario!$J:$J))&lt;0,"Stock insuficiente","Descontado"))))</f>
        <v/>
      </c>
    </row>
    <row r="13">
      <c r="A13" s="2" t="n">
        <v>12</v>
      </c>
      <c r="B13" s="2" t="inlineStr">
        <is>
          <t>Zara</t>
        </is>
      </c>
      <c r="C13" s="2" t="inlineStr">
        <is>
          <t>con cuello</t>
        </is>
      </c>
      <c r="D13" s="2" t="inlineStr">
        <is>
          <t>larga</t>
        </is>
      </c>
      <c r="E13" s="2" t="inlineStr">
        <is>
          <t>lisa</t>
        </is>
      </c>
      <c r="F13" s="2" t="inlineStr">
        <is>
          <t>azul marino</t>
        </is>
      </c>
      <c r="G13" s="2" t="inlineStr">
        <is>
          <t>CH</t>
        </is>
      </c>
      <c r="H13" s="2" t="n">
        <v>1</v>
      </c>
      <c r="I13" s="3" t="n">
        <v>46277</v>
      </c>
      <c r="J13" s="2" t="n">
        <v>169</v>
      </c>
      <c r="K13" s="2">
        <f>IF(COUNTA(B13:G13)&lt;6,"",UPPER(LEFT(TRIM(B13),1)&amp;"-"&amp;IF(LOWER(TRIM(C13))="con cuello","CC",LEFT(SUBSTITUTE(TRIM(C13)," ",""),3))&amp;"-"&amp;LEFT(TRIM(D13),1)&amp;"-"&amp;LEFT(SUBSTITUTE(TRIM(E13)," ",""),3)&amp;"-"&amp;IF(ISNUMBER(SEARCH(" ",TRIM(F13))),LEFT(TRIM(F13),2)&amp;MID(TRIM(F13),SEARCH(" ",TRIM(F13))+1,2),IF(OR(LOWER(TRIM(F13))="blanca",LOWER(TRIM(F13))="blanco"),"BLANC",LEFT(TRIM(F13),4)))&amp;"-"&amp;TRIM(G13)))</f>
        <v/>
      </c>
      <c r="L13" s="2" t="inlineStr">
        <is>
          <t>Poliester</t>
        </is>
      </c>
      <c r="M13" s="2">
        <f>IF(K13="","",IF(I13&lt;MAX(Inventario!$J:$J),"Fecha no aplica",IF(COUNTIF(Inventario!$A:$A,K13)=0,"No encontrado en inventario",IF(SUMIFS(Inventario!$E:$E,Inventario!$A:$A,K13)-SUMIFS(Ventas!$H:$H,Ventas!$K:$K,K13,Ventas!$I:$I,"&gt;="&amp;MAX(Inventario!$J:$J))&lt;0,"Stock insuficiente","Descontado"))))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1" customWidth="1" min="8" max="8"/>
    <col width="15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ID_Camisa</t>
        </is>
      </c>
      <c r="B1" s="1" t="inlineStr">
        <is>
          <t>Modelo base</t>
        </is>
      </c>
      <c r="C1" s="1" t="inlineStr">
        <is>
          <t>Color</t>
        </is>
      </c>
      <c r="D1" s="1" t="inlineStr">
        <is>
          <t>Talla</t>
        </is>
      </c>
      <c r="E1" s="1" t="inlineStr">
        <is>
          <t>Cantidad</t>
        </is>
      </c>
      <c r="F1" s="1" t="inlineStr">
        <is>
          <t>Marca</t>
        </is>
      </c>
      <c r="G1" s="1" t="inlineStr">
        <is>
          <t>Estampado</t>
        </is>
      </c>
      <c r="H1" s="1" t="inlineStr">
        <is>
          <t>Manga</t>
        </is>
      </c>
      <c r="I1" s="1" t="inlineStr">
        <is>
          <t>Tipo de cuello</t>
        </is>
      </c>
      <c r="J1" s="1" t="inlineStr">
        <is>
          <t>Fecha</t>
        </is>
      </c>
      <c r="K1" s="1" t="inlineStr">
        <is>
          <t>Tipo de tela</t>
        </is>
      </c>
      <c r="L1" s="1" t="inlineStr">
        <is>
          <t>Stock_Actual_Calculado</t>
        </is>
      </c>
    </row>
    <row r="2">
      <c r="A2" s="2">
        <f>IF(COUNTA(F2,I2,H2,G2,C2,D2)&lt;6,"",UPPER(LEFT(TRIM(F2),1)&amp;"-"&amp;IF(LOWER(TRIM(I2))="con cuello","CC",LEFT(SUBSTITUTE(TRIM(I2)," ",""),3))&amp;"-"&amp;LEFT(TRIM(H2),1)&amp;"-"&amp;LEFT(SUBSTITUTE(TRIM(G2)," ",""),3)&amp;"-"&amp;IF(ISNUMBER(SEARCH(" ",TRIM(C2))),LEFT(TRIM(C2),2)&amp;MID(TRIM(C2),SEARCH(" ",TRIM(C2))+1,2),IF(OR(LOWER(TRIM(C2))="blanca",LOWER(TRIM(C2))="blanco"),"BLANC",LEFT(TRIM(C2),4)))&amp;"-"&amp;TRIM(D2)))</f>
        <v/>
      </c>
      <c r="B2" s="2" t="inlineStr">
        <is>
          <t>POLO_MICRO_CUADRO_A</t>
        </is>
      </c>
      <c r="C2" s="2" t="inlineStr">
        <is>
          <t>azul marino</t>
        </is>
      </c>
      <c r="D2" s="2" t="inlineStr">
        <is>
          <t>CH</t>
        </is>
      </c>
      <c r="E2" s="2" t="n">
        <v>2</v>
      </c>
      <c r="F2" s="2" t="inlineStr">
        <is>
          <t>Polo</t>
        </is>
      </c>
      <c r="G2" s="2" t="inlineStr">
        <is>
          <t>micro cuadro</t>
        </is>
      </c>
      <c r="H2" s="2" t="inlineStr">
        <is>
          <t>larga</t>
        </is>
      </c>
      <c r="I2" s="2" t="inlineStr">
        <is>
          <t>con cuello</t>
        </is>
      </c>
      <c r="J2" s="3" t="n">
        <v>46276</v>
      </c>
      <c r="K2" s="2" t="inlineStr">
        <is>
          <t>Media</t>
        </is>
      </c>
      <c r="L2" s="2">
        <f>IF(A2="","",E2-SUMIFS(Ventas!$H:$H,Ventas!$K:$K,A2,Ventas!$I:$I,"&gt;="&amp;MAX(Inventario!$J:$J)))</f>
        <v/>
      </c>
    </row>
    <row r="3">
      <c r="A3" s="2">
        <f>IF(COUNTA(F3,I3,H3,G3,C3,D3)&lt;6,"",UPPER(LEFT(TRIM(F3),1)&amp;"-"&amp;IF(LOWER(TRIM(I3))="con cuello","CC",LEFT(SUBSTITUTE(TRIM(I3)," ",""),3))&amp;"-"&amp;LEFT(TRIM(H3),1)&amp;"-"&amp;LEFT(SUBSTITUTE(TRIM(G3)," ",""),3)&amp;"-"&amp;IF(ISNUMBER(SEARCH(" ",TRIM(C3))),LEFT(TRIM(C3),2)&amp;MID(TRIM(C3),SEARCH(" ",TRIM(C3))+1,2),IF(OR(LOWER(TRIM(C3))="blanca",LOWER(TRIM(C3))="blanco"),"BLANC",LEFT(TRIM(C3),4)))&amp;"-"&amp;TRIM(D3)))</f>
        <v/>
      </c>
      <c r="B3" s="2" t="inlineStr">
        <is>
          <t>POLO_MICRO_CUADRO_B</t>
        </is>
      </c>
      <c r="C3" s="2" t="inlineStr">
        <is>
          <t>azul cielo</t>
        </is>
      </c>
      <c r="D3" s="2" t="inlineStr">
        <is>
          <t>XG</t>
        </is>
      </c>
      <c r="E3" s="2" t="n">
        <v>1</v>
      </c>
      <c r="F3" s="2" t="inlineStr">
        <is>
          <t>Polo</t>
        </is>
      </c>
      <c r="G3" s="2" t="inlineStr">
        <is>
          <t>micro cuadro</t>
        </is>
      </c>
      <c r="H3" s="2" t="inlineStr">
        <is>
          <t>larga</t>
        </is>
      </c>
      <c r="I3" s="2" t="inlineStr">
        <is>
          <t>con cuello</t>
        </is>
      </c>
      <c r="J3" s="3" t="n">
        <v>46276</v>
      </c>
      <c r="K3" s="2" t="inlineStr">
        <is>
          <t>Media</t>
        </is>
      </c>
      <c r="L3" s="2">
        <f>IF(A3="","",E3-SUMIFS(Ventas!$H:$H,Ventas!$K:$K,A3,Ventas!$I:$I,"&gt;="&amp;MAX(Inventario!$J:$J)))</f>
        <v/>
      </c>
    </row>
    <row r="4">
      <c r="A4" s="2">
        <f>IF(COUNTA(F4,I4,H4,G4,C4,D4)&lt;6,"",UPPER(LEFT(TRIM(F4),1)&amp;"-"&amp;IF(LOWER(TRIM(I4))="con cuello","CC",LEFT(SUBSTITUTE(TRIM(I4)," ",""),3))&amp;"-"&amp;LEFT(TRIM(H4),1)&amp;"-"&amp;LEFT(SUBSTITUTE(TRIM(G4)," ",""),3)&amp;"-"&amp;IF(ISNUMBER(SEARCH(" ",TRIM(C4))),LEFT(TRIM(C4),2)&amp;MID(TRIM(C4),SEARCH(" ",TRIM(C4))+1,2),IF(OR(LOWER(TRIM(C4))="blanca",LOWER(TRIM(C4))="blanco"),"BLANC",LEFT(TRIM(C4),4)))&amp;"-"&amp;TRIM(D4)))</f>
        <v/>
      </c>
      <c r="B4" s="2" t="inlineStr">
        <is>
          <t>ZARA_LISA_A</t>
        </is>
      </c>
      <c r="C4" s="2" t="inlineStr">
        <is>
          <t>negra</t>
        </is>
      </c>
      <c r="D4" s="2" t="inlineStr">
        <is>
          <t>G</t>
        </is>
      </c>
      <c r="E4" s="2" t="n">
        <v>2</v>
      </c>
      <c r="F4" s="2" t="inlineStr">
        <is>
          <t>Zara</t>
        </is>
      </c>
      <c r="G4" s="2" t="inlineStr">
        <is>
          <t>lisa</t>
        </is>
      </c>
      <c r="H4" s="2" t="inlineStr">
        <is>
          <t>larga</t>
        </is>
      </c>
      <c r="I4" s="2" t="inlineStr">
        <is>
          <t>con cuello</t>
        </is>
      </c>
      <c r="J4" s="3" t="n">
        <v>46276</v>
      </c>
      <c r="K4" s="2" t="inlineStr">
        <is>
          <t>Poliester</t>
        </is>
      </c>
      <c r="L4" s="2">
        <f>IF(A4="","",E4-SUMIFS(Ventas!$H:$H,Ventas!$K:$K,A4,Ventas!$I:$I,"&gt;="&amp;MAX(Inventario!$J:$J)))</f>
        <v/>
      </c>
    </row>
    <row r="5">
      <c r="A5" s="2">
        <f>IF(COUNTA(F5,I5,H5,G5,C5,D5)&lt;6,"",UPPER(LEFT(TRIM(F5),1)&amp;"-"&amp;IF(LOWER(TRIM(I5))="con cuello","CC",LEFT(SUBSTITUTE(TRIM(I5)," ",""),3))&amp;"-"&amp;LEFT(TRIM(H5),1)&amp;"-"&amp;LEFT(SUBSTITUTE(TRIM(G5)," ",""),3)&amp;"-"&amp;IF(ISNUMBER(SEARCH(" ",TRIM(C5))),LEFT(TRIM(C5),2)&amp;MID(TRIM(C5),SEARCH(" ",TRIM(C5))+1,2),IF(OR(LOWER(TRIM(C5))="blanca",LOWER(TRIM(C5))="blanco"),"BLANC",LEFT(TRIM(C5),4)))&amp;"-"&amp;TRIM(D5)))</f>
        <v/>
      </c>
      <c r="B5" s="2" t="inlineStr">
        <is>
          <t>ZARA_LISA_B</t>
        </is>
      </c>
      <c r="C5" s="2" t="inlineStr">
        <is>
          <t>azul marino</t>
        </is>
      </c>
      <c r="D5" s="2" t="inlineStr">
        <is>
          <t>M</t>
        </is>
      </c>
      <c r="E5" s="2" t="n">
        <v>2</v>
      </c>
      <c r="F5" s="2" t="inlineStr">
        <is>
          <t>Zara</t>
        </is>
      </c>
      <c r="G5" s="2" t="inlineStr">
        <is>
          <t>lisa</t>
        </is>
      </c>
      <c r="H5" s="2" t="inlineStr">
        <is>
          <t>larga</t>
        </is>
      </c>
      <c r="I5" s="2" t="inlineStr">
        <is>
          <t>con cuello</t>
        </is>
      </c>
      <c r="J5" s="3" t="n">
        <v>46276</v>
      </c>
      <c r="K5" s="2" t="inlineStr">
        <is>
          <t>Poliester</t>
        </is>
      </c>
      <c r="L5" s="2">
        <f>IF(A5="","",E5-SUMIFS(Ventas!$H:$H,Ventas!$K:$K,A5,Ventas!$I:$I,"&gt;="&amp;MAX(Inventario!$J:$J)))</f>
        <v/>
      </c>
    </row>
    <row r="6">
      <c r="A6" s="2">
        <f>IF(COUNTA(F6,I6,H6,G6,C6,D6)&lt;6,"",UPPER(LEFT(TRIM(F6),1)&amp;"-"&amp;IF(LOWER(TRIM(I6))="con cuello","CC",LEFT(SUBSTITUTE(TRIM(I6)," ",""),3))&amp;"-"&amp;LEFT(TRIM(H6),1)&amp;"-"&amp;LEFT(SUBSTITUTE(TRIM(G6)," ",""),3)&amp;"-"&amp;IF(ISNUMBER(SEARCH(" ",TRIM(C6))),LEFT(TRIM(C6),2)&amp;MID(TRIM(C6),SEARCH(" ",TRIM(C6))+1,2),IF(OR(LOWER(TRIM(C6))="blanca",LOWER(TRIM(C6))="blanco"),"BLANC",LEFT(TRIM(C6),4)))&amp;"-"&amp;TRIM(D6)))</f>
        <v/>
      </c>
      <c r="B6" s="2" t="inlineStr">
        <is>
          <t>ZARA_LISA_C</t>
        </is>
      </c>
      <c r="C6" s="2" t="inlineStr">
        <is>
          <t>blanca</t>
        </is>
      </c>
      <c r="D6" s="2" t="inlineStr">
        <is>
          <t>M</t>
        </is>
      </c>
      <c r="E6" s="2" t="n">
        <v>1</v>
      </c>
      <c r="F6" s="2" t="inlineStr">
        <is>
          <t>Zara</t>
        </is>
      </c>
      <c r="G6" s="2" t="inlineStr">
        <is>
          <t>lisa</t>
        </is>
      </c>
      <c r="H6" s="2" t="inlineStr">
        <is>
          <t>larga</t>
        </is>
      </c>
      <c r="I6" s="2" t="inlineStr">
        <is>
          <t>con cuello</t>
        </is>
      </c>
      <c r="J6" s="3" t="n">
        <v>46276</v>
      </c>
      <c r="K6" s="2" t="inlineStr">
        <is>
          <t>Poliester</t>
        </is>
      </c>
      <c r="L6" s="2">
        <f>IF(A6="","",E6-SUMIFS(Ventas!$H:$H,Ventas!$K:$K,A6,Ventas!$I:$I,"&gt;="&amp;MAX(Inventario!$J:$J)))</f>
        <v/>
      </c>
    </row>
    <row r="7">
      <c r="A7" s="2">
        <f>IF(COUNTA(F7,I7,H7,G7,C7,D7)&lt;6,"",UPPER(LEFT(TRIM(F7),1)&amp;"-"&amp;IF(LOWER(TRIM(I7))="con cuello","CC",LEFT(SUBSTITUTE(TRIM(I7)," ",""),3))&amp;"-"&amp;LEFT(TRIM(H7),1)&amp;"-"&amp;LEFT(SUBSTITUTE(TRIM(G7)," ",""),3)&amp;"-"&amp;IF(ISNUMBER(SEARCH(" ",TRIM(C7))),LEFT(TRIM(C7),2)&amp;MID(TRIM(C7),SEARCH(" ",TRIM(C7))+1,2),IF(OR(LOWER(TRIM(C7))="blanca",LOWER(TRIM(C7))="blanco"),"BLANC",LEFT(TRIM(C7),4)))&amp;"-"&amp;TRIM(D7)))</f>
        <v/>
      </c>
      <c r="B7" s="2" t="inlineStr">
        <is>
          <t>ZARA_LISA_D</t>
        </is>
      </c>
      <c r="C7" s="2" t="inlineStr">
        <is>
          <t>negra</t>
        </is>
      </c>
      <c r="D7" s="2" t="inlineStr">
        <is>
          <t>CH</t>
        </is>
      </c>
      <c r="E7" s="2" t="n">
        <v>1</v>
      </c>
      <c r="F7" s="2" t="inlineStr">
        <is>
          <t>Zara</t>
        </is>
      </c>
      <c r="G7" s="2" t="inlineStr">
        <is>
          <t>lisa</t>
        </is>
      </c>
      <c r="H7" s="2" t="inlineStr">
        <is>
          <t>larga</t>
        </is>
      </c>
      <c r="I7" s="2" t="inlineStr">
        <is>
          <t>con cuello</t>
        </is>
      </c>
      <c r="J7" s="3" t="n">
        <v>46276</v>
      </c>
      <c r="K7" s="2" t="inlineStr">
        <is>
          <t>Poliester</t>
        </is>
      </c>
      <c r="L7" s="2">
        <f>IF(A7="","",E7-SUMIFS(Ventas!$H:$H,Ventas!$K:$K,A7,Ventas!$I:$I,"&gt;="&amp;MAX(Inventario!$J:$J)))</f>
        <v/>
      </c>
    </row>
    <row r="8">
      <c r="A8" s="2">
        <f>IF(COUNTA(F8,I8,H8,G8,C8,D8)&lt;6,"",UPPER(LEFT(TRIM(F8),1)&amp;"-"&amp;IF(LOWER(TRIM(I8))="con cuello","CC",LEFT(SUBSTITUTE(TRIM(I8)," ",""),3))&amp;"-"&amp;LEFT(TRIM(H8),1)&amp;"-"&amp;LEFT(SUBSTITUTE(TRIM(G8)," ",""),3)&amp;"-"&amp;IF(ISNUMBER(SEARCH(" ",TRIM(C8))),LEFT(TRIM(C8),2)&amp;MID(TRIM(C8),SEARCH(" ",TRIM(C8))+1,2),IF(OR(LOWER(TRIM(C8))="blanca",LOWER(TRIM(C8))="blanco"),"BLANC",LEFT(TRIM(C8),4)))&amp;"-"&amp;TRIM(D8)))</f>
        <v/>
      </c>
      <c r="B8" s="2" t="inlineStr">
        <is>
          <t>ZARA_LISA_E</t>
        </is>
      </c>
      <c r="C8" s="2" t="inlineStr">
        <is>
          <t>azul marino</t>
        </is>
      </c>
      <c r="D8" s="2" t="inlineStr">
        <is>
          <t>CH</t>
        </is>
      </c>
      <c r="E8" s="2" t="n">
        <v>1</v>
      </c>
      <c r="F8" s="2" t="inlineStr">
        <is>
          <t>Zara</t>
        </is>
      </c>
      <c r="G8" s="2" t="inlineStr">
        <is>
          <t>lisa</t>
        </is>
      </c>
      <c r="H8" s="2" t="inlineStr">
        <is>
          <t>larga</t>
        </is>
      </c>
      <c r="I8" s="2" t="inlineStr">
        <is>
          <t>con cuello</t>
        </is>
      </c>
      <c r="J8" s="3" t="n">
        <v>46276</v>
      </c>
      <c r="K8" s="2" t="inlineStr">
        <is>
          <t>Poliester</t>
        </is>
      </c>
      <c r="L8" s="2">
        <f>IF(A8="","",E8-SUMIFS(Ventas!$H:$H,Ventas!$K:$K,A8,Ventas!$I:$I,"&gt;="&amp;MAX(Inventario!$J:$J)))</f>
        <v/>
      </c>
    </row>
    <row r="9">
      <c r="A9" s="2">
        <f>IF(COUNTA(F9,I9,H9,G9,C9,D9)&lt;6,"",UPPER(LEFT(TRIM(F9),1)&amp;"-"&amp;IF(LOWER(TRIM(I9))="con cuello","CC",LEFT(SUBSTITUTE(TRIM(I9)," ",""),3))&amp;"-"&amp;LEFT(TRIM(H9),1)&amp;"-"&amp;LEFT(SUBSTITUTE(TRIM(G9)," ",""),3)&amp;"-"&amp;IF(ISNUMBER(SEARCH(" ",TRIM(C9))),LEFT(TRIM(C9),2)&amp;MID(TRIM(C9),SEARCH(" ",TRIM(C9))+1,2),IF(OR(LOWER(TRIM(C9))="blanca",LOWER(TRIM(C9))="blanco"),"BLANC",LEFT(TRIM(C9),4)))&amp;"-"&amp;TRIM(D9)))</f>
        <v/>
      </c>
      <c r="B9" s="2" t="inlineStr">
        <is>
          <t>CALVIN_LISA_A</t>
        </is>
      </c>
      <c r="C9" s="2" t="inlineStr">
        <is>
          <t>azul cielo</t>
        </is>
      </c>
      <c r="D9" s="2" t="inlineStr">
        <is>
          <t>G</t>
        </is>
      </c>
      <c r="E9" s="2" t="n">
        <v>2</v>
      </c>
      <c r="F9" s="2" t="inlineStr">
        <is>
          <t>Calvin</t>
        </is>
      </c>
      <c r="G9" s="2" t="inlineStr">
        <is>
          <t>lisa</t>
        </is>
      </c>
      <c r="H9" s="2" t="inlineStr">
        <is>
          <t>larga</t>
        </is>
      </c>
      <c r="I9" s="2" t="inlineStr">
        <is>
          <t>mao</t>
        </is>
      </c>
      <c r="J9" s="3" t="n">
        <v>46276</v>
      </c>
      <c r="K9" s="2" t="inlineStr">
        <is>
          <t>Algodonada</t>
        </is>
      </c>
      <c r="L9" s="2">
        <f>IF(A9="","",E9-SUMIFS(Ventas!$H:$H,Ventas!$K:$K,A9,Ventas!$I:$I,"&gt;="&amp;MAX(Inventario!$J:$J)))</f>
        <v/>
      </c>
    </row>
    <row r="10">
      <c r="A10" s="2">
        <f>IF(COUNTA(F10,I10,H10,G10,C10,D10)&lt;6,"",UPPER(LEFT(TRIM(F10),1)&amp;"-"&amp;IF(LOWER(TRIM(I10))="con cuello","CC",LEFT(SUBSTITUTE(TRIM(I10)," ",""),3))&amp;"-"&amp;LEFT(TRIM(H10),1)&amp;"-"&amp;LEFT(SUBSTITUTE(TRIM(G10)," ",""),3)&amp;"-"&amp;IF(ISNUMBER(SEARCH(" ",TRIM(C10))),LEFT(TRIM(C10),2)&amp;MID(TRIM(C10),SEARCH(" ",TRIM(C10))+1,2),IF(OR(LOWER(TRIM(C10))="blanca",LOWER(TRIM(C10))="blanco"),"BLANC",LEFT(TRIM(C10),4)))&amp;"-"&amp;TRIM(D10)))</f>
        <v/>
      </c>
      <c r="B10" s="2" t="inlineStr">
        <is>
          <t>CALVIN_LISA_B</t>
        </is>
      </c>
      <c r="C10" s="2" t="inlineStr">
        <is>
          <t>blanca</t>
        </is>
      </c>
      <c r="D10" s="2" t="inlineStr">
        <is>
          <t>M</t>
        </is>
      </c>
      <c r="E10" s="2" t="n">
        <v>2</v>
      </c>
      <c r="F10" s="2" t="inlineStr">
        <is>
          <t>Calvin</t>
        </is>
      </c>
      <c r="G10" s="2" t="inlineStr">
        <is>
          <t>lisa</t>
        </is>
      </c>
      <c r="H10" s="2" t="inlineStr">
        <is>
          <t>larga</t>
        </is>
      </c>
      <c r="I10" s="2" t="inlineStr">
        <is>
          <t>mao</t>
        </is>
      </c>
      <c r="J10" s="3" t="n">
        <v>46276</v>
      </c>
      <c r="K10" s="2" t="inlineStr">
        <is>
          <t>Algodonada</t>
        </is>
      </c>
      <c r="L10" s="2">
        <f>IF(A10="","",E10-SUMIFS(Ventas!$H:$H,Ventas!$K:$K,A10,Ventas!$I:$I,"&gt;="&amp;MAX(Inventario!$J:$J)))</f>
        <v/>
      </c>
    </row>
    <row r="11">
      <c r="A11" s="2">
        <f>IF(COUNTA(F11,I11,H11,G11,C11,D11)&lt;6,"",UPPER(LEFT(TRIM(F11),1)&amp;"-"&amp;IF(LOWER(TRIM(I11))="con cuello","CC",LEFT(SUBSTITUTE(TRIM(I11)," ",""),3))&amp;"-"&amp;LEFT(TRIM(H11),1)&amp;"-"&amp;LEFT(SUBSTITUTE(TRIM(G11)," ",""),3)&amp;"-"&amp;IF(ISNUMBER(SEARCH(" ",TRIM(C11))),LEFT(TRIM(C11),2)&amp;MID(TRIM(C11),SEARCH(" ",TRIM(C11))+1,2),IF(OR(LOWER(TRIM(C11))="blanca",LOWER(TRIM(C11))="blanco"),"BLANC",LEFT(TRIM(C11),4)))&amp;"-"&amp;TRIM(D11)))</f>
        <v/>
      </c>
      <c r="B11" s="2" t="inlineStr">
        <is>
          <t>TOMMY_RESORTE_A</t>
        </is>
      </c>
      <c r="C11" s="2" t="inlineStr">
        <is>
          <t>blanca</t>
        </is>
      </c>
      <c r="D11" s="2" t="inlineStr">
        <is>
          <t>M</t>
        </is>
      </c>
      <c r="E11" s="2" t="n">
        <v>1</v>
      </c>
      <c r="F11" s="2" t="inlineStr">
        <is>
          <t>Tommy</t>
        </is>
      </c>
      <c r="G11" s="2" t="inlineStr">
        <is>
          <t>resorte</t>
        </is>
      </c>
      <c r="H11" s="2" t="inlineStr">
        <is>
          <t>corta</t>
        </is>
      </c>
      <c r="I11" s="2" t="inlineStr">
        <is>
          <t>mao</t>
        </is>
      </c>
      <c r="J11" s="3" t="n">
        <v>46276</v>
      </c>
      <c r="K11" s="2" t="inlineStr">
        <is>
          <t>Algodonada</t>
        </is>
      </c>
      <c r="L11" s="2">
        <f>IF(A11="","",E11-SUMIFS(Ventas!$H:$H,Ventas!$K:$K,A11,Ventas!$I:$I,"&gt;="&amp;MAX(Inventario!$J:$J)))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7" customWidth="1" min="4" max="4"/>
    <col width="18" customWidth="1" min="5" max="5"/>
    <col width="8" customWidth="1" min="6" max="6"/>
    <col width="16" customWidth="1" min="7" max="7"/>
    <col width="36" customWidth="1" min="8" max="8"/>
  </cols>
  <sheetData>
    <row r="1">
      <c r="A1" s="1" t="inlineStr">
        <is>
          <t>Marca</t>
        </is>
      </c>
      <c r="B1" s="1" t="inlineStr">
        <is>
          <t>Tipo de cuello</t>
        </is>
      </c>
      <c r="C1" s="1" t="inlineStr">
        <is>
          <t>Manga</t>
        </is>
      </c>
      <c r="D1" s="1" t="inlineStr">
        <is>
          <t>Estampado</t>
        </is>
      </c>
      <c r="E1" s="1" t="inlineStr">
        <is>
          <t>Color</t>
        </is>
      </c>
      <c r="F1" s="1" t="inlineStr">
        <is>
          <t>Talla</t>
        </is>
      </c>
      <c r="G1" s="1" t="inlineStr">
        <is>
          <t>Tipo de tela</t>
        </is>
      </c>
      <c r="H1" s="1" t="inlineStr">
        <is>
          <t>Uso</t>
        </is>
      </c>
    </row>
    <row r="2">
      <c r="A2" s="2" t="inlineStr">
        <is>
          <t>Armani</t>
        </is>
      </c>
      <c r="B2" s="2" t="inlineStr">
        <is>
          <t>botones</t>
        </is>
      </c>
      <c r="C2" s="2" t="inlineStr">
        <is>
          <t>corta</t>
        </is>
      </c>
      <c r="D2" s="2" t="inlineStr">
        <is>
          <t>cuadros</t>
        </is>
      </c>
      <c r="E2" s="2" t="inlineStr">
        <is>
          <t>azul celeste</t>
        </is>
      </c>
      <c r="F2" s="2" t="inlineStr">
        <is>
          <t>CH</t>
        </is>
      </c>
      <c r="G2" s="2" t="inlineStr">
        <is>
          <t>Ligera</t>
        </is>
      </c>
      <c r="H2" s="2" t="inlineStr">
        <is>
          <t>Muestra sanitizada para portafolio</t>
        </is>
      </c>
    </row>
    <row r="3">
      <c r="A3" s="2" t="inlineStr">
        <is>
          <t>Burberry</t>
        </is>
      </c>
      <c r="B3" s="2" t="inlineStr">
        <is>
          <t>con cuello</t>
        </is>
      </c>
      <c r="C3" s="2" t="inlineStr">
        <is>
          <t>larga</t>
        </is>
      </c>
      <c r="D3" s="2" t="inlineStr">
        <is>
          <t>figuras</t>
        </is>
      </c>
      <c r="E3" s="2" t="inlineStr">
        <is>
          <t>azul cielo</t>
        </is>
      </c>
      <c r="F3" s="2" t="inlineStr">
        <is>
          <t>G</t>
        </is>
      </c>
      <c r="G3" s="2" t="inlineStr">
        <is>
          <t>Media</t>
        </is>
      </c>
      <c r="H3" s="2" t="inlineStr">
        <is>
          <t>La lógica del archivo y las fórmulas se conservan.</t>
        </is>
      </c>
    </row>
    <row r="4">
      <c r="A4" s="2" t="inlineStr">
        <is>
          <t>Calvin</t>
        </is>
      </c>
      <c r="B4" s="2" t="inlineStr">
        <is>
          <t>mao</t>
        </is>
      </c>
      <c r="C4" s="2" t="n"/>
      <c r="D4" s="2" t="inlineStr">
        <is>
          <t>flores</t>
        </is>
      </c>
      <c r="E4" s="2" t="inlineStr">
        <is>
          <t>azul marino</t>
        </is>
      </c>
      <c r="F4" s="2" t="inlineStr">
        <is>
          <t>M</t>
        </is>
      </c>
      <c r="G4" s="2" t="inlineStr">
        <is>
          <t>Gruesa</t>
        </is>
      </c>
      <c r="H4" s="2" t="n"/>
    </row>
    <row r="5">
      <c r="A5" s="2" t="inlineStr">
        <is>
          <t>Dolce</t>
        </is>
      </c>
      <c r="B5" s="2" t="n"/>
      <c r="C5" s="2" t="n"/>
      <c r="D5" s="2" t="inlineStr">
        <is>
          <t>lisa</t>
        </is>
      </c>
      <c r="E5" s="2" t="inlineStr">
        <is>
          <t>azul primario</t>
        </is>
      </c>
      <c r="F5" s="2" t="inlineStr">
        <is>
          <t>XG</t>
        </is>
      </c>
      <c r="G5" s="2" t="inlineStr">
        <is>
          <t>Elástica</t>
        </is>
      </c>
      <c r="H5" s="2" t="n"/>
    </row>
    <row r="6">
      <c r="A6" s="2" t="inlineStr">
        <is>
          <t>Levis</t>
        </is>
      </c>
      <c r="B6" s="2" t="n"/>
      <c r="C6" s="2" t="n"/>
      <c r="D6" s="2" t="inlineStr">
        <is>
          <t>micro cuadro</t>
        </is>
      </c>
      <c r="E6" s="2" t="inlineStr">
        <is>
          <t>beige</t>
        </is>
      </c>
      <c r="F6" s="2" t="n"/>
      <c r="G6" s="2" t="inlineStr">
        <is>
          <t>Suave</t>
        </is>
      </c>
      <c r="H6" s="2" t="n"/>
    </row>
    <row r="7">
      <c r="A7" s="2" t="inlineStr">
        <is>
          <t>Manchini</t>
        </is>
      </c>
      <c r="B7" s="2" t="n"/>
      <c r="C7" s="2" t="n"/>
      <c r="D7" s="2" t="inlineStr">
        <is>
          <t>puntos</t>
        </is>
      </c>
      <c r="E7" s="2" t="inlineStr">
        <is>
          <t>blanca</t>
        </is>
      </c>
      <c r="F7" s="2" t="n"/>
      <c r="G7" s="2" t="inlineStr">
        <is>
          <t>Tipo lino</t>
        </is>
      </c>
      <c r="H7" s="2" t="n"/>
    </row>
    <row r="8">
      <c r="A8" s="2" t="inlineStr">
        <is>
          <t>Polo</t>
        </is>
      </c>
      <c r="B8" s="2" t="n"/>
      <c r="C8" s="2" t="n"/>
      <c r="D8" s="2" t="inlineStr">
        <is>
          <t>rayas delgadas</t>
        </is>
      </c>
      <c r="E8" s="2" t="inlineStr">
        <is>
          <t>gris</t>
        </is>
      </c>
      <c r="F8" s="2" t="n"/>
      <c r="G8" s="2" t="inlineStr">
        <is>
          <t>Tipo mezclilla</t>
        </is>
      </c>
      <c r="H8" s="2" t="n"/>
    </row>
    <row r="9">
      <c r="A9" s="2" t="inlineStr">
        <is>
          <t>Tommy</t>
        </is>
      </c>
      <c r="B9" s="2" t="n"/>
      <c r="C9" s="2" t="n"/>
      <c r="D9" s="2" t="inlineStr">
        <is>
          <t>resorte</t>
        </is>
      </c>
      <c r="E9" s="2" t="inlineStr">
        <is>
          <t>mostaza</t>
        </is>
      </c>
      <c r="F9" s="2" t="n"/>
      <c r="G9" s="2" t="inlineStr">
        <is>
          <t>Satinada</t>
        </is>
      </c>
      <c r="H9" s="2" t="n"/>
    </row>
    <row r="10">
      <c r="A10" s="2" t="inlineStr">
        <is>
          <t>Versace</t>
        </is>
      </c>
      <c r="B10" s="2" t="n"/>
      <c r="C10" s="2" t="n"/>
      <c r="D10" s="2" t="inlineStr">
        <is>
          <t>textura cuadrada</t>
        </is>
      </c>
      <c r="E10" s="2" t="inlineStr">
        <is>
          <t>negra</t>
        </is>
      </c>
      <c r="F10" s="2" t="n"/>
      <c r="G10" s="2" t="inlineStr">
        <is>
          <t>Sintética suave</t>
        </is>
      </c>
      <c r="H10" s="2" t="n"/>
    </row>
    <row r="11">
      <c r="A11" s="2" t="inlineStr">
        <is>
          <t>Zara</t>
        </is>
      </c>
      <c r="B11" s="2" t="n"/>
      <c r="C11" s="2" t="n"/>
      <c r="D11" s="2" t="n"/>
      <c r="E11" s="2" t="inlineStr">
        <is>
          <t>palo de rosa</t>
        </is>
      </c>
      <c r="F11" s="2" t="n"/>
      <c r="G11" s="2" t="inlineStr">
        <is>
          <t>Algodonada</t>
        </is>
      </c>
      <c r="H11" s="2" t="n"/>
    </row>
    <row r="12">
      <c r="A12" s="2" t="n"/>
      <c r="B12" s="2" t="n"/>
      <c r="C12" s="2" t="n"/>
      <c r="D12" s="2" t="n"/>
      <c r="E12" s="2" t="inlineStr">
        <is>
          <t>roja</t>
        </is>
      </c>
      <c r="F12" s="2" t="n"/>
      <c r="G12" s="2" t="inlineStr">
        <is>
          <t>Microperforada</t>
        </is>
      </c>
      <c r="H12" s="2" t="n"/>
    </row>
    <row r="13">
      <c r="A13" s="2" t="n"/>
      <c r="B13" s="2" t="n"/>
      <c r="C13" s="2" t="n"/>
      <c r="D13" s="2" t="n"/>
      <c r="E13" s="2" t="inlineStr">
        <is>
          <t>verde militar</t>
        </is>
      </c>
      <c r="F13" s="2" t="n"/>
      <c r="G13" s="2" t="inlineStr">
        <is>
          <t>Texturizada</t>
        </is>
      </c>
      <c r="H13" s="2" t="n"/>
    </row>
    <row r="15">
      <c r="A15" s="4" t="inlineStr">
        <is>
          <t>Nota</t>
        </is>
      </c>
      <c r="B15" s="2" t="inlineStr">
        <is>
          <t>Versión sanitizada para portafolio: contiene una muestra representativa y datos ajustados para proteger información sensible del negocio.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2026-03-18T04:18:43Z</dcterms:created>
  <dcterms:modified xmlns:dcterms="http://purl.org/dc/terms/" xmlns:xsi="http://www.w3.org/2001/XMLSchema-instance" xsi:type="dcterms:W3CDTF">2026-03-18T04:18:43Z</dcterms:modified>
</cp:coreProperties>
</file>